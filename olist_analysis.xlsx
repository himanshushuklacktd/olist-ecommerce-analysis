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olist-ecommerce-analysis\"/>
    </mc:Choice>
  </mc:AlternateContent>
  <xr:revisionPtr revIDLastSave="0" documentId="13_ncr:9_{F0F4B327-78F5-45E9-AC8E-191C97A00DCF}" xr6:coauthVersionLast="47" xr6:coauthVersionMax="47" xr10:uidLastSave="{00000000-0000-0000-0000-000000000000}"/>
  <bookViews>
    <workbookView xWindow="-108" yWindow="-108" windowWidth="23256" windowHeight="12456" tabRatio="1000" activeTab="1" xr2:uid="{DD070DB4-F5BF-4282-B171-54A5CF01D762}"/>
  </bookViews>
  <sheets>
    <sheet name="monthly_revenue" sheetId="1" r:id="rId1"/>
    <sheet name="Revenue Analysis" sheetId="5" r:id="rId2"/>
    <sheet name="revenue_by_category" sheetId="7" r:id="rId3"/>
    <sheet name="Category Analysis" sheetId="8" r:id="rId4"/>
    <sheet name="KPI Summary" sheetId="9" r:id="rId5"/>
  </sheets>
  <definedNames>
    <definedName name="ExternalData_1" localSheetId="2" hidden="1">'revenue_by_category'!$A$1:$B$11</definedName>
  </definedNames>
  <calcPr calcId="0"/>
  <pivotCaches>
    <pivotCache cacheId="19" r:id="rId6"/>
    <pivotCache cacheId="23" r:id="rId7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659F7A-C934-4B91-B5B9-6D4D107FACB9}" keepAlive="1" name="Query - revenue_by_category" description="Connection to the 'revenue_by_category' query in the workbook." type="5" refreshedVersion="8" background="1" saveData="1">
    <dbPr connection="Provider=Microsoft.Mashup.OleDb.1;Data Source=$Workbook$;Location=revenue_by_category;Extended Properties=&quot;&quot;" command="SELECT * FROM [revenue_by_category]"/>
  </connection>
</connections>
</file>

<file path=xl/sharedStrings.xml><?xml version="1.0" encoding="utf-8"?>
<sst xmlns="http://schemas.openxmlformats.org/spreadsheetml/2006/main" count="74" uniqueCount="60">
  <si>
    <t>order_month</t>
  </si>
  <si>
    <t>monthly_revenue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</si>
  <si>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</si>
  <si>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</si>
  <si>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</si>
  <si>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</si>
  <si>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</si>
  <si>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</si>
  <si>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</si>
  <si>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</si>
  <si>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</si>
  <si>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</si>
  <si>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</si>
  <si>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</si>
  <si>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</si>
  <si>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</si>
  <si>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</si>
  <si>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</si>
  <si>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</si>
  <si>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</si>
  <si>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</si>
  <si>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</si>
  <si>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</si>
  <si>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</si>
  <si>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Row Labels</t>
  </si>
  <si>
    <t>Grand Total</t>
  </si>
  <si>
    <t>Sum of monthly_revenue</t>
  </si>
  <si>
    <t>2016</t>
  </si>
  <si>
    <t>2017</t>
  </si>
  <si>
    <t>2018</t>
  </si>
  <si>
    <t>category</t>
  </si>
  <si>
    <t>revenue</t>
  </si>
  <si>
    <t>bed_bath_table_x000D_</t>
  </si>
  <si>
    <t>health_beauty_x000D_</t>
  </si>
  <si>
    <t>computers_accessories_x000D_</t>
  </si>
  <si>
    <t>furniture_decor_x000D_</t>
  </si>
  <si>
    <t>watches_gifts_x000D_</t>
  </si>
  <si>
    <t>sports_leisure_x000D_</t>
  </si>
  <si>
    <t>housewares_x000D_</t>
  </si>
  <si>
    <t>auto_x000D_</t>
  </si>
  <si>
    <t>garden_tools_x000D_</t>
  </si>
  <si>
    <t>cool_stuff_x000D_</t>
  </si>
  <si>
    <t>Sum of revenue</t>
  </si>
  <si>
    <t xml:space="preserve">Metric </t>
  </si>
  <si>
    <t>Total Revenue</t>
  </si>
  <si>
    <t>Total Orders</t>
  </si>
  <si>
    <t>Late Delivery %</t>
  </si>
  <si>
    <t>Top Category</t>
  </si>
  <si>
    <t>Top State</t>
  </si>
  <si>
    <t>Peak Month</t>
  </si>
  <si>
    <t>Peak MoM Growth</t>
  </si>
  <si>
    <t>Top Seller Revenue</t>
  </si>
  <si>
    <t>Analysis Period</t>
  </si>
  <si>
    <t>Avg Delivery Days</t>
  </si>
  <si>
    <t>R$ 15,421,083</t>
  </si>
  <si>
    <t>Bed Bath Table</t>
  </si>
  <si>
    <t>São Paulo (SP)</t>
  </si>
  <si>
    <t>R$ 505,437</t>
  </si>
  <si>
    <t>Oct 2016 – Aug 2018</t>
  </si>
  <si>
    <t xml:space="preserve">Value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</si>
</sst>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 (body)"/>
      <family val="2"/>
    </font>
    <font>
      <sz val="11"/>
      <color theme="1"/>
      <name val="Calibri (body)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 (body)"/>
      <family val="2"/>
    </font>
    <font>
      <b/>
      <sz val="13"/>
      <color theme="3"/>
      <name val="Calibri (body)"/>
      <family val="2"/>
    </font>
    <font>
      <b/>
      <sz val="11"/>
      <color theme="3"/>
      <name val="Calibri (body)"/>
      <family val="2"/>
    </font>
    <font>
      <sz val="11"/>
      <color rgb="FF006100"/>
      <name val="Calibri (body)"/>
      <family val="2"/>
    </font>
    <font>
      <sz val="11"/>
      <color rgb="FF9C0006"/>
      <name val="Calibri (body)"/>
      <family val="2"/>
    </font>
    <font>
      <sz val="11"/>
      <color rgb="FF9C5700"/>
      <name val="Calibri (body)"/>
      <family val="2"/>
    </font>
    <font>
      <sz val="11"/>
      <color rgb="FF3F3F76"/>
      <name val="Calibri (body)"/>
      <family val="2"/>
    </font>
    <font>
      <b/>
      <sz val="11"/>
      <color rgb="FF3F3F3F"/>
      <name val="Calibri (body)"/>
      <family val="2"/>
    </font>
    <font>
      <b/>
      <sz val="11"/>
      <color rgb="FFFA7D00"/>
      <name val="Calibri (body)"/>
      <family val="2"/>
    </font>
    <font>
      <sz val="11"/>
      <color rgb="FFFA7D00"/>
      <name val="Calibri (body)"/>
      <family val="2"/>
    </font>
    <font>
      <b/>
      <sz val="11"/>
      <color theme="0"/>
      <name val="Calibri (body)"/>
      <family val="2"/>
    </font>
    <font>
      <sz val="11"/>
      <color rgb="FFFF0000"/>
      <name val="Calibri (body)"/>
      <family val="2"/>
    </font>
    <font>
      <i/>
      <sz val="11"/>
      <color rgb="FF7F7F7F"/>
      <name val="Calibri (body)"/>
      <family val="2"/>
    </font>
    <font>
      <b/>
      <sz val="11"/>
      <color theme="1"/>
      <name val="Calibri (body)"/>
      <family val="2"/>
    </font>
    <font>
      <sz val="11"/>
      <color theme="0"/>
      <name val="Calibri (body)"/>
      <family val="2"/>
    </font>
    <font>
      <b/>
      <sz val="11"/>
      <color theme="1"/>
      <name val="Calibri (body)"/>
    </font>
    <font>
      <sz val="11"/>
      <color theme="1"/>
      <name val="Calibri (body)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C83B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/>
    <xf numFmtId="0" fontId="19" fillId="0" borderId="0" xfId="0" applyFont="1"/>
    <xf numFmtId="0" fontId="19" fillId="0" borderId="0" xfId="0" applyFont="1" applyAlignment="1">
      <alignment horizontal="right"/>
    </xf>
    <xf numFmtId="3" fontId="19" fillId="0" borderId="0" xfId="0" applyNumberFormat="1" applyFont="1" applyAlignment="1">
      <alignment horizontal="right"/>
    </xf>
    <xf numFmtId="10" fontId="19" fillId="0" borderId="0" xfId="0" applyNumberFormat="1" applyFont="1" applyAlignment="1">
      <alignment horizontal="right"/>
    </xf>
    <xf numFmtId="17" fontId="19" fillId="0" borderId="0" xfId="0" applyNumberFormat="1" applyFont="1" applyAlignment="1">
      <alignment horizontal="right"/>
    </xf>
    <xf numFmtId="0" fontId="16" fillId="33" borderId="0" xfId="0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</dxf>
    <dxf>
      <numFmt numFmtId="0" formatCode="General"/>
    </dxf>
    <dxf>
      <numFmt numFmtId="3" formatCode="#,##0"/>
    </dxf>
  </dxfs>
  <tableStyles count="0" defaultTableStyle="TableStyleMedium2" defaultPivotStyle="PivotStyleLight16"/>
  <colors>
    <mruColors>
      <color rgb="FF0C83B2"/>
      <color rgb="FF0A63B4"/>
      <color rgb="FF185F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[olist_analysis.xlsx]Revenue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Revenue Growth 2016–2018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Analysis'!$A$4:$A$7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'Revenue Analysis'!$B$4:$B$7</c:f>
              <c:numCache>
                <c:formatCode>#,##0</c:formatCode>
                <c:ptCount val="3"/>
                <c:pt idx="0">
                  <c:v>46586.33</c:v>
                </c:pt>
                <c:pt idx="1">
                  <c:v>6922571.4099999992</c:v>
                </c:pt>
                <c:pt idx="2">
                  <c:v>8451925.1099999994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F-4558-8435-32A555789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346031"/>
        <c:axId val="433344591"/>
      </c:barChart>
      <c:catAx>
        <c:axId val="43334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44591"/>
        <c:crosses val="autoZero"/>
        <c:auto val="1"/>
        <c:lblAlgn val="ctr"/>
        <c:lblOffset val="100"/>
        <c:noMultiLvlLbl val="0"/>
      </c:catAx>
      <c:valAx>
        <c:axId val="43334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34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[olist_analysis.xlsx]Category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Categories by Revenue</a:t>
            </a:r>
          </a:p>
        </c:rich>
      </c:tx>
      <c:layout>
        <c:manualLayout>
          <c:xMode val="edge"/>
          <c:yMode val="edge"/>
          <c:x val="0.32975699912510936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Analysis'!$A$4:$A$14</c:f>
              <c:strCache>
                <c:ptCount val="10"/>
                <c:pt idx="0">
                  <c:v>bed_bath_table_x000d_</c:v>
                </c:pt>
                <c:pt idx="1">
                  <c:v>health_beauty_x000d_</c:v>
                </c:pt>
                <c:pt idx="2">
                  <c:v>computers_accessories_x000d_</c:v>
                </c:pt>
                <c:pt idx="3">
                  <c:v>furniture_decor_x000d_</c:v>
                </c:pt>
                <c:pt idx="4">
                  <c:v>watches_gifts_x000d_</c:v>
                </c:pt>
                <c:pt idx="5">
                  <c:v>sports_leisure_x000d_</c:v>
                </c:pt>
                <c:pt idx="6">
                  <c:v>housewares_x000d_</c:v>
                </c:pt>
                <c:pt idx="7">
                  <c:v>auto_x000d_</c:v>
                </c:pt>
                <c:pt idx="8">
                  <c:v>garden_tools_x000d_</c:v>
                </c:pt>
                <c:pt idx="9">
                  <c:v>cool_stuff_x000d_</c:v>
                </c:pt>
              </c:strCache>
            </c:strRef>
          </c:cat>
          <c:val>
            <c:numRef>
              <c:f>'Category Analysis'!$B$4:$B$14</c:f>
              <c:numCache>
                <c:formatCode>General</c:formatCode>
                <c:ptCount val="10"/>
                <c:pt idx="0">
                  <c:v>1692714.28</c:v>
                </c:pt>
                <c:pt idx="1">
                  <c:v>1620684.04</c:v>
                </c:pt>
                <c:pt idx="2">
                  <c:v>1549252.47</c:v>
                </c:pt>
                <c:pt idx="3">
                  <c:v>1394466.93</c:v>
                </c:pt>
                <c:pt idx="4">
                  <c:v>1387046.31</c:v>
                </c:pt>
                <c:pt idx="5">
                  <c:v>1349252.93</c:v>
                </c:pt>
                <c:pt idx="6">
                  <c:v>1069787.97</c:v>
                </c:pt>
                <c:pt idx="7">
                  <c:v>833610.84</c:v>
                </c:pt>
                <c:pt idx="8">
                  <c:v>810614.93</c:v>
                </c:pt>
                <c:pt idx="9">
                  <c:v>744649.32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6-4A23-A8E4-5D0362CFB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8640511"/>
        <c:axId val="587131567"/>
      </c:barChart>
      <c:catAx>
        <c:axId val="428640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31567"/>
        <c:crosses val="autoZero"/>
        <c:auto val="1"/>
        <c:lblAlgn val="ctr"/>
        <c:lblOffset val="100"/>
        <c:noMultiLvlLbl val="0"/>
      </c:catAx>
      <c:valAx>
        <c:axId val="58713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64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9</xdr:row>
      <xdr:rowOff>38100</xdr:rowOff>
    </xdr:from>
    <xdr:to>
      <xdr:col>4</xdr:col>
      <xdr:colOff>464820</xdr:colOff>
      <xdr:row>27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2A4F04-9A02-A520-5073-0E55BC023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369570</xdr:colOff>
      <xdr:row>1</xdr:row>
      <xdr:rowOff>148590</xdr:rowOff>
    </xdr:from>
    <xdr:to>
      <xdr:col>12</xdr:col>
      <xdr:colOff>106680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30E6CA-BE6F-644D-D62D-07E60D500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c" refreshedDate="46126.545462615744" createdVersion="8" refreshedVersion="8" minRefreshableVersion="3" recordCount="22" xr:uid="{91AE1F20-E02B-4184-A4B1-44C578CBDFAD}">
  <cacheSource type="worksheet">
    <worksheetSource name="Table5"/>
  </cacheSource>
  <cacheFields count="2">
    <cacheField name="order_month" numFmtId="0">
      <sharedItems count="3">
        <s v="2016"/>
        <s v="2017"/>
        <s v="2018"/>
      </sharedItems>
    </cacheField>
    <cacheField name="monthly_revenue" numFmtId="3">
      <sharedItems containsSemiMixedTypes="0" containsString="0" containsNumber="1" minValue="19.62" maxValue="1153393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c" refreshedDate="46126.55009016204" createdVersion="8" refreshedVersion="8" minRefreshableVersion="3" recordCount="10" xr:uid="{66511039-21F2-416F-B261-20253CC11260}">
  <cacheSource type="worksheet">
    <worksheetSource name="revenue_by_category"/>
  </cacheSource>
  <cacheFields count="2">
    <cacheField name="category" numFmtId="0">
      <sharedItems count="10">
        <s v="bed_bath_table_x000d_"/>
        <s v="health_beauty_x000d_"/>
        <s v="computers_accessories_x000d_"/>
        <s v="furniture_decor_x000d_"/>
        <s v="watches_gifts_x000d_"/>
        <s v="sports_leisure_x000d_"/>
        <s v="housewares_x000d_"/>
        <s v="auto_x000d_"/>
        <s v="garden_tools_x000d_"/>
        <s v="cool_stuff_x000d_"/>
      </sharedItems>
    </cacheField>
    <cacheField name="revenue" numFmtId="0">
      <sharedItems containsSemiMixedTypes="0" containsString="0" containsNumber="1" minValue="744649.32" maxValue="1692714.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46566.71"/>
  </r>
  <r>
    <x v="0"/>
    <n v="19.62"/>
  </r>
  <r>
    <x v="1"/>
    <n v="127545.67"/>
  </r>
  <r>
    <x v="1"/>
    <n v="271298.65000000002"/>
  </r>
  <r>
    <x v="1"/>
    <n v="414369.39"/>
  </r>
  <r>
    <x v="1"/>
    <n v="390952.18"/>
  </r>
  <r>
    <x v="1"/>
    <n v="566872.73"/>
  </r>
  <r>
    <x v="1"/>
    <n v="490225.6"/>
  </r>
  <r>
    <x v="1"/>
    <n v="566403.93000000005"/>
  </r>
  <r>
    <x v="1"/>
    <n v="646000.61"/>
  </r>
  <r>
    <x v="1"/>
    <n v="701169.99"/>
  </r>
  <r>
    <x v="1"/>
    <n v="751140.27"/>
  </r>
  <r>
    <x v="1"/>
    <n v="1153393.22"/>
  </r>
  <r>
    <x v="1"/>
    <n v="843199.17"/>
  </r>
  <r>
    <x v="2"/>
    <n v="1078606.8600000001"/>
  </r>
  <r>
    <x v="2"/>
    <n v="966510.88"/>
  </r>
  <r>
    <x v="2"/>
    <n v="1120678"/>
  </r>
  <r>
    <x v="2"/>
    <n v="1132933.95"/>
  </r>
  <r>
    <x v="2"/>
    <n v="1128836.69"/>
  </r>
  <r>
    <x v="2"/>
    <n v="1011561.35"/>
  </r>
  <r>
    <x v="2"/>
    <n v="1027383.1"/>
  </r>
  <r>
    <x v="2"/>
    <n v="985414.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692714.28"/>
  </r>
  <r>
    <x v="1"/>
    <n v="1620684.04"/>
  </r>
  <r>
    <x v="2"/>
    <n v="1549252.47"/>
  </r>
  <r>
    <x v="3"/>
    <n v="1394466.93"/>
  </r>
  <r>
    <x v="4"/>
    <n v="1387046.31"/>
  </r>
  <r>
    <x v="5"/>
    <n v="1349252.93"/>
  </r>
  <r>
    <x v="6"/>
    <n v="1069787.97"/>
  </r>
  <r>
    <x v="7"/>
    <n v="833610.84"/>
  </r>
  <r>
    <x v="8"/>
    <n v="810614.93"/>
  </r>
  <r>
    <x v="9"/>
    <n v="744649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C0E36-E584-49C3-85CA-225A8AB7E9CF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numFmtId="3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_revenue" fld="1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FB632-EC3E-4879-9BD7-65B118F7E839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">
    <pivotField axis="axisRow" showAll="0" sortType="descending">
      <items count="11">
        <item x="7"/>
        <item x="0"/>
        <item x="2"/>
        <item x="9"/>
        <item x="3"/>
        <item x="8"/>
        <item x="1"/>
        <item x="6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1"/>
    </i>
    <i>
      <x v="6"/>
    </i>
    <i>
      <x v="2"/>
    </i>
    <i>
      <x v="4"/>
    </i>
    <i>
      <x v="9"/>
    </i>
    <i>
      <x v="8"/>
    </i>
    <i>
      <x v="7"/>
    </i>
    <i>
      <x/>
    </i>
    <i>
      <x v="5"/>
    </i>
    <i>
      <x v="3"/>
    </i>
    <i t="grand">
      <x/>
    </i>
  </rowItems>
  <colItems count="1">
    <i/>
  </colItems>
  <dataFields count="1">
    <dataField name="Sum of revenu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0B8EB9-1D06-4A7F-9AD2-218943A3F88B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revenue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CE515D-BDAE-4D73-9ADA-41B9EEBCBD1D}" name="Table5" displayName="Table5" ref="I1:J23" totalsRowShown="0">
  <autoFilter ref="I1:J23" xr:uid="{6ECE515D-BDAE-4D73-9ADA-41B9EEBCBD1D}"/>
  <tableColumns count="2">
    <tableColumn id="1" xr3:uid="{FBEA9B26-F2BB-43F4-BE6E-6D4AE7487406}" name="order_month">
      <calculatedColumnFormula>LEFT(A2,4)</calculatedColumnFormula>
    </tableColumn>
    <tableColumn id="2" xr3:uid="{326EBDBF-DE5D-4775-A8AE-5EF3FFB4FC59}" name="monthly_revenu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7EDC81-EF7E-4B0E-B040-5177950A7F70}" name="revenue_by_category" displayName="revenue_by_category" ref="A1:B11" tableType="queryTable" totalsRowShown="0">
  <autoFilter ref="A1:B11" xr:uid="{067EDC81-EF7E-4B0E-B040-5177950A7F70}"/>
  <tableColumns count="2">
    <tableColumn id="1" xr3:uid="{616E63D3-F7E5-40FD-B79E-58F623889F7F}" uniqueName="1" name="category" queryTableFieldId="1" dataDxfId="2"/>
    <tableColumn id="2" xr3:uid="{530D1A58-0221-4E96-8FA1-A2FED7FD2163}" uniqueName="2" name="revenue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3A4744-46FB-436E-9F9A-8E8598D2A35D}" name="Table8" displayName="Table8" ref="A1:B11" totalsRowShown="0">
  <autoFilter ref="A1:B11" xr:uid="{4E3A4744-46FB-436E-9F9A-8E8598D2A35D}"/>
  <tableColumns count="2">
    <tableColumn id="1" xr3:uid="{FDB96277-2762-4C1A-9A19-038AEDCB8E84}" name="Metric " dataDxfId="1"/>
    <tableColumn id="2" xr3:uid="{D4887127-C386-40FB-A34D-862DEF250511}" name="Value     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06BF-20D8-42A0-9791-34630CF287B0}">
  <dimension ref="A1:J23"/>
  <sheetViews>
    <sheetView workbookViewId="0">
      <selection activeCell="I1" sqref="I1:J23"/>
    </sheetView>
  </sheetViews>
  <sheetFormatPr defaultRowHeight="13.8"/>
  <cols>
    <col min="1" max="1" width="11" bestFit="1" customWidth="1"/>
    <col min="2" max="2" width="14.69921875" bestFit="1" customWidth="1"/>
    <col min="9" max="9" width="13.8984375" customWidth="1"/>
    <col min="10" max="10" width="18.09765625" customWidth="1"/>
  </cols>
  <sheetData>
    <row r="1" spans="1:10">
      <c r="A1" t="s">
        <v>0</v>
      </c>
      <c r="B1" t="s">
        <v>1</v>
      </c>
      <c r="I1" t="s">
        <v>0</v>
      </c>
      <c r="J1" t="s">
        <v>1</v>
      </c>
    </row>
    <row r="2" spans="1:10">
      <c r="A2" t="s">
        <v>2</v>
      </c>
      <c r="B2" s="1">
        <v>46566.71</v>
      </c>
      <c r="I2" t="str">
        <f>LEFT(A2,4)</f>
        <v>2016</v>
      </c>
      <c r="J2" s="1">
        <v>46566.71</v>
      </c>
    </row>
    <row r="3" spans="1:10">
      <c r="A3" t="s">
        <v>3</v>
      </c>
      <c r="B3" s="1">
        <v>19.62</v>
      </c>
      <c r="I3" t="str">
        <f t="shared" ref="I3:I23" si="0">LEFT(A3,4)</f>
        <v>2016</v>
      </c>
      <c r="J3" s="1">
        <v>19.62</v>
      </c>
    </row>
    <row r="4" spans="1:10">
      <c r="A4" t="s">
        <v>4</v>
      </c>
      <c r="B4" s="1">
        <v>127545.67</v>
      </c>
      <c r="I4" t="str">
        <f t="shared" si="0"/>
        <v>2017</v>
      </c>
      <c r="J4" s="1">
        <v>127545.67</v>
      </c>
    </row>
    <row r="5" spans="1:10">
      <c r="A5" t="s">
        <v>5</v>
      </c>
      <c r="B5" s="1">
        <v>271298.65000000002</v>
      </c>
      <c r="I5" t="str">
        <f t="shared" si="0"/>
        <v>2017</v>
      </c>
      <c r="J5" s="1">
        <v>271298.65000000002</v>
      </c>
    </row>
    <row r="6" spans="1:10">
      <c r="A6" t="s">
        <v>6</v>
      </c>
      <c r="B6" s="1">
        <v>414369.39</v>
      </c>
      <c r="I6" t="str">
        <f t="shared" si="0"/>
        <v>2017</v>
      </c>
      <c r="J6" s="1">
        <v>414369.39</v>
      </c>
    </row>
    <row r="7" spans="1:10">
      <c r="A7" t="s">
        <v>7</v>
      </c>
      <c r="B7" s="1">
        <v>390952.18</v>
      </c>
      <c r="I7" t="str">
        <f t="shared" si="0"/>
        <v>2017</v>
      </c>
      <c r="J7" s="1">
        <v>390952.18</v>
      </c>
    </row>
    <row r="8" spans="1:10">
      <c r="A8" t="s">
        <v>8</v>
      </c>
      <c r="B8" s="1">
        <v>566872.73</v>
      </c>
      <c r="I8" t="str">
        <f t="shared" si="0"/>
        <v>2017</v>
      </c>
      <c r="J8" s="1">
        <v>566872.73</v>
      </c>
    </row>
    <row r="9" spans="1:10">
      <c r="A9" t="s">
        <v>9</v>
      </c>
      <c r="B9" s="1">
        <v>490225.6</v>
      </c>
      <c r="I9" t="str">
        <f t="shared" si="0"/>
        <v>2017</v>
      </c>
      <c r="J9" s="1">
        <v>490225.6</v>
      </c>
    </row>
    <row r="10" spans="1:10">
      <c r="A10" t="s">
        <v>10</v>
      </c>
      <c r="B10" s="1">
        <v>566403.93000000005</v>
      </c>
      <c r="I10" t="str">
        <f t="shared" si="0"/>
        <v>2017</v>
      </c>
      <c r="J10" s="1">
        <v>566403.93000000005</v>
      </c>
    </row>
    <row r="11" spans="1:10">
      <c r="A11" t="s">
        <v>11</v>
      </c>
      <c r="B11" s="1">
        <v>646000.61</v>
      </c>
      <c r="I11" t="str">
        <f t="shared" si="0"/>
        <v>2017</v>
      </c>
      <c r="J11" s="1">
        <v>646000.61</v>
      </c>
    </row>
    <row r="12" spans="1:10">
      <c r="A12" t="s">
        <v>12</v>
      </c>
      <c r="B12" s="1">
        <v>701169.99</v>
      </c>
      <c r="I12" t="str">
        <f t="shared" si="0"/>
        <v>2017</v>
      </c>
      <c r="J12" s="1">
        <v>701169.99</v>
      </c>
    </row>
    <row r="13" spans="1:10">
      <c r="A13" t="s">
        <v>13</v>
      </c>
      <c r="B13" s="1">
        <v>751140.27</v>
      </c>
      <c r="I13" t="str">
        <f t="shared" si="0"/>
        <v>2017</v>
      </c>
      <c r="J13" s="1">
        <v>751140.27</v>
      </c>
    </row>
    <row r="14" spans="1:10">
      <c r="A14" t="s">
        <v>14</v>
      </c>
      <c r="B14" s="1">
        <v>1153393.22</v>
      </c>
      <c r="I14" t="str">
        <f t="shared" si="0"/>
        <v>2017</v>
      </c>
      <c r="J14" s="1">
        <v>1153393.22</v>
      </c>
    </row>
    <row r="15" spans="1:10">
      <c r="A15" t="s">
        <v>15</v>
      </c>
      <c r="B15" s="1">
        <v>843199.17</v>
      </c>
      <c r="I15" t="str">
        <f t="shared" si="0"/>
        <v>2017</v>
      </c>
      <c r="J15" s="1">
        <v>843199.17</v>
      </c>
    </row>
    <row r="16" spans="1:10">
      <c r="A16" t="s">
        <v>16</v>
      </c>
      <c r="B16" s="1">
        <v>1078606.8600000001</v>
      </c>
      <c r="I16" t="str">
        <f t="shared" si="0"/>
        <v>2018</v>
      </c>
      <c r="J16" s="1">
        <v>1078606.8600000001</v>
      </c>
    </row>
    <row r="17" spans="1:10">
      <c r="A17" t="s">
        <v>17</v>
      </c>
      <c r="B17" s="1">
        <v>966510.88</v>
      </c>
      <c r="I17" t="str">
        <f t="shared" si="0"/>
        <v>2018</v>
      </c>
      <c r="J17" s="1">
        <v>966510.88</v>
      </c>
    </row>
    <row r="18" spans="1:10">
      <c r="A18" t="s">
        <v>18</v>
      </c>
      <c r="B18" s="1">
        <v>1120678</v>
      </c>
      <c r="I18" t="str">
        <f t="shared" si="0"/>
        <v>2018</v>
      </c>
      <c r="J18" s="1">
        <v>1120678</v>
      </c>
    </row>
    <row r="19" spans="1:10">
      <c r="A19" t="s">
        <v>19</v>
      </c>
      <c r="B19" s="1">
        <v>1132933.95</v>
      </c>
      <c r="I19" t="str">
        <f t="shared" si="0"/>
        <v>2018</v>
      </c>
      <c r="J19" s="1">
        <v>1132933.95</v>
      </c>
    </row>
    <row r="20" spans="1:10">
      <c r="A20" t="s">
        <v>20</v>
      </c>
      <c r="B20" s="1">
        <v>1128836.69</v>
      </c>
      <c r="I20" t="str">
        <f t="shared" si="0"/>
        <v>2018</v>
      </c>
      <c r="J20" s="1">
        <v>1128836.69</v>
      </c>
    </row>
    <row r="21" spans="1:10">
      <c r="A21" t="s">
        <v>21</v>
      </c>
      <c r="B21" s="1">
        <v>1011561.35</v>
      </c>
      <c r="I21" t="str">
        <f t="shared" si="0"/>
        <v>2018</v>
      </c>
      <c r="J21" s="1">
        <v>1011561.35</v>
      </c>
    </row>
    <row r="22" spans="1:10">
      <c r="A22" t="s">
        <v>22</v>
      </c>
      <c r="B22" s="1">
        <v>1027383.1</v>
      </c>
      <c r="I22" t="str">
        <f t="shared" si="0"/>
        <v>2018</v>
      </c>
      <c r="J22" s="1">
        <v>1027383.1</v>
      </c>
    </row>
    <row r="23" spans="1:10">
      <c r="A23" t="s">
        <v>23</v>
      </c>
      <c r="B23" s="1">
        <v>985414.28</v>
      </c>
      <c r="I23" t="str">
        <f t="shared" si="0"/>
        <v>2018</v>
      </c>
      <c r="J23" s="1">
        <v>985414.28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782A-32AC-46E6-8D0A-21D137AB4AC9}">
  <dimension ref="A3:B7"/>
  <sheetViews>
    <sheetView tabSelected="1" workbookViewId="0">
      <selection activeCell="G2" sqref="G2"/>
    </sheetView>
  </sheetViews>
  <sheetFormatPr defaultRowHeight="13.8"/>
  <cols>
    <col min="1" max="1" width="13.09765625" bestFit="1" customWidth="1"/>
    <col min="2" max="2" width="23.3984375" bestFit="1" customWidth="1"/>
  </cols>
  <sheetData>
    <row r="3" spans="1:2">
      <c r="A3" s="2" t="s">
        <v>24</v>
      </c>
      <c r="B3" t="s">
        <v>26</v>
      </c>
    </row>
    <row r="4" spans="1:2">
      <c r="A4" s="3" t="s">
        <v>27</v>
      </c>
      <c r="B4" s="1">
        <v>46586.33</v>
      </c>
    </row>
    <row r="5" spans="1:2">
      <c r="A5" s="3" t="s">
        <v>28</v>
      </c>
      <c r="B5" s="1">
        <v>6922571.4099999992</v>
      </c>
    </row>
    <row r="6" spans="1:2">
      <c r="A6" s="3" t="s">
        <v>29</v>
      </c>
      <c r="B6" s="1">
        <v>8451925.1099999994</v>
      </c>
    </row>
    <row r="7" spans="1:2">
      <c r="A7" s="3" t="s">
        <v>25</v>
      </c>
      <c r="B7" s="1">
        <v>15421082.849999998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00BA-C1ED-4A0C-A63F-B1277D11930C}">
  <dimension ref="A1:B11"/>
  <sheetViews>
    <sheetView workbookViewId="0"/>
  </sheetViews>
  <sheetFormatPr defaultRowHeight="13.8"/>
  <cols>
    <col min="1" max="1" width="21.3984375" bestFit="1" customWidth="1"/>
    <col min="2" max="2" width="10.8984375" bestFit="1" customWidth="1"/>
  </cols>
  <sheetData>
    <row r="1" spans="1:2">
      <c r="A1" t="s">
        <v>30</v>
      </c>
      <c r="B1" t="s">
        <v>31</v>
      </c>
    </row>
    <row r="2" spans="1:2">
      <c r="A2" s="4" t="s">
        <v>32</v>
      </c>
      <c r="B2">
        <v>1692714.28</v>
      </c>
    </row>
    <row r="3" spans="1:2">
      <c r="A3" s="4" t="s">
        <v>33</v>
      </c>
      <c r="B3">
        <v>1620684.04</v>
      </c>
    </row>
    <row r="4" spans="1:2">
      <c r="A4" s="4" t="s">
        <v>34</v>
      </c>
      <c r="B4">
        <v>1549252.47</v>
      </c>
    </row>
    <row r="5" spans="1:2">
      <c r="A5" s="4" t="s">
        <v>35</v>
      </c>
      <c r="B5">
        <v>1394466.93</v>
      </c>
    </row>
    <row r="6" spans="1:2">
      <c r="A6" s="4" t="s">
        <v>36</v>
      </c>
      <c r="B6">
        <v>1387046.31</v>
      </c>
    </row>
    <row r="7" spans="1:2">
      <c r="A7" s="4" t="s">
        <v>37</v>
      </c>
      <c r="B7">
        <v>1349252.93</v>
      </c>
    </row>
    <row r="8" spans="1:2">
      <c r="A8" s="4" t="s">
        <v>38</v>
      </c>
      <c r="B8">
        <v>1069787.97</v>
      </c>
    </row>
    <row r="9" spans="1:2">
      <c r="A9" s="4" t="s">
        <v>39</v>
      </c>
      <c r="B9">
        <v>833610.84</v>
      </c>
    </row>
    <row r="10" spans="1:2">
      <c r="A10" s="4" t="s">
        <v>40</v>
      </c>
      <c r="B10">
        <v>810614.93</v>
      </c>
    </row>
    <row r="11" spans="1:2">
      <c r="A11" s="4" t="s">
        <v>41</v>
      </c>
      <c r="B11">
        <v>744649.32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FAA76-257B-4510-9728-78B473686740}">
  <dimension ref="A3:B14"/>
  <sheetViews>
    <sheetView workbookViewId="0">
      <selection activeCell="B34" sqref="B34"/>
    </sheetView>
  </sheetViews>
  <sheetFormatPr defaultRowHeight="13.8"/>
  <cols>
    <col min="1" max="1" width="21.3984375" bestFit="1" customWidth="1"/>
    <col min="2" max="2" width="15" bestFit="1" customWidth="1"/>
  </cols>
  <sheetData>
    <row r="3" spans="1:2">
      <c r="A3" s="2" t="s">
        <v>24</v>
      </c>
      <c r="B3" t="s">
        <v>42</v>
      </c>
    </row>
    <row r="4" spans="1:2">
      <c r="A4" s="3" t="s">
        <v>32</v>
      </c>
      <c r="B4" s="4">
        <v>1692714.28</v>
      </c>
    </row>
    <row r="5" spans="1:2">
      <c r="A5" s="3" t="s">
        <v>33</v>
      </c>
      <c r="B5" s="4">
        <v>1620684.04</v>
      </c>
    </row>
    <row r="6" spans="1:2">
      <c r="A6" s="3" t="s">
        <v>34</v>
      </c>
      <c r="B6" s="4">
        <v>1549252.47</v>
      </c>
    </row>
    <row r="7" spans="1:2">
      <c r="A7" s="3" t="s">
        <v>35</v>
      </c>
      <c r="B7" s="4">
        <v>1394466.93</v>
      </c>
    </row>
    <row r="8" spans="1:2">
      <c r="A8" s="3" t="s">
        <v>36</v>
      </c>
      <c r="B8" s="4">
        <v>1387046.31</v>
      </c>
    </row>
    <row r="9" spans="1:2">
      <c r="A9" s="3" t="s">
        <v>37</v>
      </c>
      <c r="B9" s="4">
        <v>1349252.93</v>
      </c>
    </row>
    <row r="10" spans="1:2">
      <c r="A10" s="3" t="s">
        <v>38</v>
      </c>
      <c r="B10" s="4">
        <v>1069787.97</v>
      </c>
    </row>
    <row r="11" spans="1:2">
      <c r="A11" s="3" t="s">
        <v>39</v>
      </c>
      <c r="B11" s="4">
        <v>833610.84</v>
      </c>
    </row>
    <row r="12" spans="1:2">
      <c r="A12" s="3" t="s">
        <v>40</v>
      </c>
      <c r="B12" s="4">
        <v>810614.93</v>
      </c>
    </row>
    <row r="13" spans="1:2">
      <c r="A13" s="3" t="s">
        <v>41</v>
      </c>
      <c r="B13" s="4">
        <v>744649.32</v>
      </c>
    </row>
    <row r="14" spans="1:2">
      <c r="A14" s="3" t="s">
        <v>25</v>
      </c>
      <c r="B14" s="4">
        <v>12452080.02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F883-7FCA-4CBC-8DD6-022E70D8E00C}">
  <dimension ref="A1:B11"/>
  <sheetViews>
    <sheetView workbookViewId="0">
      <selection activeCell="R27" sqref="R27"/>
    </sheetView>
  </sheetViews>
  <sheetFormatPr defaultRowHeight="13.8"/>
  <cols>
    <col min="1" max="1" width="18" customWidth="1"/>
    <col min="2" max="2" width="26.3984375" customWidth="1"/>
  </cols>
  <sheetData>
    <row r="1" spans="1:2">
      <c r="A1" s="5" t="s">
        <v>43</v>
      </c>
      <c r="B1" s="11" t="s">
        <v>59</v>
      </c>
    </row>
    <row r="2" spans="1:2">
      <c r="A2" s="6" t="s">
        <v>44</v>
      </c>
      <c r="B2" s="7" t="s">
        <v>54</v>
      </c>
    </row>
    <row r="3" spans="1:2">
      <c r="A3" s="6" t="s">
        <v>45</v>
      </c>
      <c r="B3" s="8">
        <v>96469</v>
      </c>
    </row>
    <row r="4" spans="1:2">
      <c r="A4" s="6" t="s">
        <v>53</v>
      </c>
      <c r="B4" s="7">
        <v>12.5</v>
      </c>
    </row>
    <row r="5" spans="1:2">
      <c r="A5" s="6" t="s">
        <v>46</v>
      </c>
      <c r="B5" s="9">
        <v>8.0600000000000005E-2</v>
      </c>
    </row>
    <row r="6" spans="1:2">
      <c r="A6" s="6" t="s">
        <v>47</v>
      </c>
      <c r="B6" s="7" t="s">
        <v>55</v>
      </c>
    </row>
    <row r="7" spans="1:2">
      <c r="A7" s="6" t="s">
        <v>48</v>
      </c>
      <c r="B7" s="7" t="s">
        <v>56</v>
      </c>
    </row>
    <row r="8" spans="1:2">
      <c r="A8" s="6" t="s">
        <v>49</v>
      </c>
      <c r="B8" s="10">
        <v>43040</v>
      </c>
    </row>
    <row r="9" spans="1:2">
      <c r="A9" s="6" t="s">
        <v>50</v>
      </c>
      <c r="B9" s="9">
        <v>0.53549999999999998</v>
      </c>
    </row>
    <row r="10" spans="1:2">
      <c r="A10" s="6" t="s">
        <v>51</v>
      </c>
      <c r="B10" s="7" t="s">
        <v>57</v>
      </c>
    </row>
    <row r="11" spans="1:2">
      <c r="A11" s="6" t="s">
        <v>52</v>
      </c>
      <c r="B11" s="7" t="s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E1B7BB-F2F0-4FA8-997C-C5DC455F6A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monthly_revenue</vt:lpstr>
      <vt:lpstr>Revenue Analysis</vt:lpstr>
      <vt:lpstr>revenue_by_category</vt:lpstr>
      <vt:lpstr>Category Analysis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</dc:creator>
  <cp:lastModifiedBy>Himanshu Shukla</cp:lastModifiedBy>
  <dcterms:created xsi:type="dcterms:W3CDTF">2026-04-14T07:02:19Z</dcterms:created>
  <dcterms:modified xsi:type="dcterms:W3CDTF">2026-04-14T08:14:16Z</dcterms:modified>
</cp:coreProperties>
</file>